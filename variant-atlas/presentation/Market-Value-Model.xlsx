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 value" sheetId="1" r:id="rId1"/>
    <sheet name="US opportunity" sheetId="2" r:id="rId2"/>
    <sheet name="Sources and limits" sheetId="3" r:id="rId3"/>
  </sheets>
  <calcPr calcId="124519" fullCalcOnLoad="1"/>
</workbook>
</file>

<file path=xl/sharedStrings.xml><?xml version="1.0" encoding="utf-8"?>
<sst xmlns="http://schemas.openxmlformats.org/spreadsheetml/2006/main" count="62" uniqueCount="60">
  <si>
    <t>Customer capacity value — all inputs assumed</t>
  </si>
  <si>
    <t>Value</t>
  </si>
  <si>
    <t>Meaning</t>
  </si>
  <si>
    <t>Cases per month</t>
  </si>
  <si>
    <t>Applicable investigation volume; not measured</t>
  </si>
  <si>
    <t>Net hours recovered per case</t>
  </si>
  <si>
    <t>After review, onboarding and corrections; not measured</t>
  </si>
  <si>
    <t>Research capacity value per hour (USD)</t>
  </si>
  <si>
    <t>Assumed loaded capacity rate, not a salary estimate</t>
  </si>
  <si>
    <t>Lab fee per month (USD)</t>
  </si>
  <si>
    <t>Proposed price, not a commercial offer</t>
  </si>
  <si>
    <t>Months per year</t>
  </si>
  <si>
    <t>Arithmetic constant</t>
  </si>
  <si>
    <t>Annual capacity value</t>
  </si>
  <si>
    <t>Released capacity, not cash savings</t>
  </si>
  <si>
    <t>Annual fee</t>
  </si>
  <si>
    <t>Subscription fee only</t>
  </si>
  <si>
    <t>Capacity value after fee</t>
  </si>
  <si>
    <t>Not profit; excludes any unmodelled costs</t>
  </si>
  <si>
    <t>Capacity value / fee</t>
  </si>
  <si>
    <t>Benefit-to-fee ratio, not measured ROI</t>
  </si>
  <si>
    <t>Break-even net hours per month</t>
  </si>
  <si>
    <t>Must recover this many net hours to cover the fee</t>
  </si>
  <si>
    <t>Low-use case: 2 cases/month, annual value</t>
  </si>
  <si>
    <t>Below the proposed fee; no automatic positive value proposition</t>
  </si>
  <si>
    <t>Conditional annual subscription pool</t>
  </si>
  <si>
    <t>Low</t>
  </si>
  <si>
    <t>Base</t>
  </si>
  <si>
    <t>High</t>
  </si>
  <si>
    <t>Qualification</t>
  </si>
  <si>
    <t>Rounded US biotech reference pool</t>
  </si>
  <si>
    <t>Assumed eligible fit rate</t>
  </si>
  <si>
    <t>Hypothetical eligible companies</t>
  </si>
  <si>
    <t>Paid accounts per eligible company</t>
  </si>
  <si>
    <t>Proposed monthly fee (USD)</t>
  </si>
  <si>
    <t>Illustrative effective uptake fraction</t>
  </si>
  <si>
    <t>Revenue at illustrative uptake</t>
  </si>
  <si>
    <t>BIO says more than 2,000; not a buyer list.</t>
  </si>
  <si>
    <t>Unvalidated assumption; current PTEN scope may fit far fewer.</t>
  </si>
  <si>
    <t>Full eligible coverage, not TAM or forecast revenue. Excludes academia and non-US firms.</t>
  </si>
  <si>
    <t>Uptake is assumed, not a pipeline or forecast. Accounts, conversion and retention require evidence.</t>
  </si>
  <si>
    <t>First 20 accounts: annualized subscriptions</t>
  </si>
  <si>
    <t>Evidence / assumption</t>
  </si>
  <si>
    <t>Source or boundary</t>
  </si>
  <si>
    <t>Company reference pool</t>
  </si>
  <si>
    <t>https://www.bio.org/sites/default/files/2026-01/the_power_of_small_and_mid-size_biotechs.pdf</t>
  </si>
  <si>
    <t>Benchling academic offer</t>
  </si>
  <si>
    <t>https://www.benchling.com/academic</t>
  </si>
  <si>
    <t>Galaxy workflow scope</t>
  </si>
  <si>
    <t>https://galaxyproject.org/</t>
  </si>
  <si>
    <t>MaveDB interpretation scope</t>
  </si>
  <si>
    <t>https://mavedb.org/docs/mavedb/mavemd/variant-page.html</t>
  </si>
  <si>
    <t>Checked</t>
  </si>
  <si>
    <t>25 October 2026</t>
  </si>
  <si>
    <t>Value inputs</t>
  </si>
  <si>
    <t>All time, volume, hourly rate, fit and price inputs are hypotheses. No measured savings or confirmed demand.</t>
  </si>
  <si>
    <t>Commercial scope</t>
  </si>
  <si>
    <t>US entry segment only; source pool includes firms that may never be relevant. Global TAM is not established.</t>
  </si>
  <si>
    <t>Scientific scope</t>
  </si>
  <si>
    <t>Computational research prototype; no monetized claim about avoiding failed experiments or improving clinical outcomes.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</si>
</sst>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$#,##0;($#,##0)"/>
    <numFmt numFmtId="166" formatCode="0%"/>
  </numFmts>
  <fonts count="5">
    <font>
      <sz val="11"/>
      <color theme="1"/>
      <name val="Calibri"/>
      <family val="2"/>
      <scheme val="minor"/>
    </font>
    <font>
      <b/>
      <sz val="13"/>
      <color rgb="FFFFFDF8"/>
      <name val="Calibri"/>
      <family val="2"/>
      <scheme val="minor"/>
    </font>
    <font>
      <sz val="11"/>
      <color rgb="FF1657A0"/>
      <name val="Calibri"/>
      <family val="2"/>
      <scheme val="minor"/>
    </font>
    <font>
      <sz val="11"/>
      <color rgb="FF58706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93B3B"/>
        <bgColor indexed="64"/>
      </patternFill>
    </fill>
    <fill>
      <patternFill patternType="solid">
        <fgColor rgb="FFE7EEF5"/>
        <bgColor indexed="64"/>
      </patternFill>
    </fill>
    <fill>
      <patternFill patternType="solid">
        <fgColor rgb="FFE7EE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164" fontId="2" fillId="3" borderId="0" xfId="0" applyNumberFormat="1" applyFont="1" applyFill="1"/>
    <xf numFmtId="0" fontId="3" fillId="0" borderId="0" xfId="0" applyFont="1" applyAlignment="1">
      <alignment vertical="top" wrapText="1"/>
    </xf>
    <xf numFmtId="165" fontId="4" fillId="4" borderId="0" xfId="0" applyNumberFormat="1" applyFont="1" applyFill="1"/>
    <xf numFmtId="165" fontId="0" fillId="0" borderId="0" xfId="0" applyNumberFormat="1"/>
    <xf numFmtId="166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o.org/sites/default/files/2026-01/the_power_of_small_and_mid-size_biotechs.pdf" TargetMode="External"/><Relationship Id="rId2" Type="http://schemas.openxmlformats.org/officeDocument/2006/relationships/hyperlink" Target="https://www.benchling.com/academic" TargetMode="External"/><Relationship Id="rId3" Type="http://schemas.openxmlformats.org/officeDocument/2006/relationships/hyperlink" Target="https://galaxyproject.org/" TargetMode="External"/><Relationship Id="rId4" Type="http://schemas.openxmlformats.org/officeDocument/2006/relationships/hyperlink" Target="https://mavedb.org/docs/mavedb/mavemd/variant-pag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54.7109375" customWidth="1"/>
    <col min="2" max="2" width="22.7109375" customWidth="1"/>
    <col min="3" max="3" width="74.7109375" customWidth="1"/>
  </cols>
  <sheetData>
    <row r="1" spans="1:3">
      <c r="A1" s="1" t="s">
        <v>0</v>
      </c>
      <c r="B1" s="1" t="s">
        <v>1</v>
      </c>
      <c r="C1" s="1" t="s">
        <v>2</v>
      </c>
    </row>
    <row r="3" spans="1:3">
      <c r="A3" s="2" t="s">
        <v>3</v>
      </c>
      <c r="B3" s="3">
        <v>8</v>
      </c>
      <c r="C3" s="4" t="s">
        <v>4</v>
      </c>
    </row>
    <row r="4" spans="1:3">
      <c r="A4" s="2" t="s">
        <v>5</v>
      </c>
      <c r="B4" s="3">
        <v>2</v>
      </c>
      <c r="C4" s="4" t="s">
        <v>6</v>
      </c>
    </row>
    <row r="5" spans="1:3">
      <c r="A5" s="2" t="s">
        <v>7</v>
      </c>
      <c r="B5" s="3">
        <v>60</v>
      </c>
      <c r="C5" s="4" t="s">
        <v>8</v>
      </c>
    </row>
    <row r="6" spans="1:3">
      <c r="A6" s="2" t="s">
        <v>9</v>
      </c>
      <c r="B6" s="3">
        <v>300</v>
      </c>
      <c r="C6" s="4" t="s">
        <v>10</v>
      </c>
    </row>
    <row r="7" spans="1:3">
      <c r="A7" s="2" t="s">
        <v>11</v>
      </c>
      <c r="B7" s="3">
        <v>12</v>
      </c>
      <c r="C7" s="4" t="s">
        <v>12</v>
      </c>
    </row>
    <row r="9" spans="1:3">
      <c r="A9" s="2" t="s">
        <v>13</v>
      </c>
      <c r="B9" s="5">
        <f>B3*B4*B5*B7</f>
        <v>11520</v>
      </c>
      <c r="C9" s="4" t="s">
        <v>14</v>
      </c>
    </row>
    <row r="10" spans="1:3">
      <c r="A10" s="2" t="s">
        <v>15</v>
      </c>
      <c r="B10" s="6">
        <f>B6*B7</f>
        <v>3600</v>
      </c>
      <c r="C10" s="4" t="s">
        <v>16</v>
      </c>
    </row>
    <row r="11" spans="1:3">
      <c r="A11" s="2" t="s">
        <v>17</v>
      </c>
      <c r="B11" s="5">
        <f>B9-B10</f>
        <v>7920</v>
      </c>
      <c r="C11" s="4" t="s">
        <v>18</v>
      </c>
    </row>
    <row r="12" spans="1:3">
      <c r="A12" s="2" t="s">
        <v>19</v>
      </c>
      <c r="B12">
        <f>IFERROR(B9/B10,0)</f>
        <v>3.2</v>
      </c>
      <c r="C12" s="4" t="s">
        <v>20</v>
      </c>
    </row>
    <row r="13" spans="1:3">
      <c r="A13" s="2" t="s">
        <v>21</v>
      </c>
      <c r="B13">
        <f>IFERROR(B6/B5,0)</f>
        <v>5</v>
      </c>
      <c r="C13" s="4" t="s">
        <v>22</v>
      </c>
    </row>
    <row r="15" spans="1:3">
      <c r="A15" s="2" t="s">
        <v>23</v>
      </c>
      <c r="B15" s="6">
        <f>2*B4*B5*B7</f>
        <v>2880</v>
      </c>
      <c r="C15" s="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0.7109375" customWidth="1"/>
    <col min="2" max="4" width="22.7109375" customWidth="1"/>
    <col min="5" max="5" width="72.7109375" customWidth="1"/>
  </cols>
  <sheetData>
    <row r="1" spans="1: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3" spans="1:5">
      <c r="A3" s="2" t="s">
        <v>30</v>
      </c>
      <c r="B3" s="3">
        <v>2000</v>
      </c>
      <c r="C3" s="3">
        <v>2000</v>
      </c>
      <c r="D3" s="3">
        <v>2000</v>
      </c>
      <c r="E3" s="4" t="s">
        <v>37</v>
      </c>
    </row>
    <row r="4" spans="1:5">
      <c r="A4" s="2" t="s">
        <v>31</v>
      </c>
      <c r="B4" s="7">
        <v>0.1</v>
      </c>
      <c r="C4" s="7">
        <v>0.2</v>
      </c>
      <c r="D4" s="7">
        <v>0.3</v>
      </c>
      <c r="E4" s="4" t="s">
        <v>38</v>
      </c>
    </row>
    <row r="5" spans="1:5">
      <c r="A5" s="2" t="s">
        <v>32</v>
      </c>
      <c r="B5">
        <f>B3*B4</f>
        <v>200.0</v>
      </c>
      <c r="C5">
        <f>C3*C4</f>
        <v>400.0</v>
      </c>
      <c r="D5">
        <f>D3*D4</f>
        <v>600.0</v>
      </c>
    </row>
    <row r="6" spans="1:5">
      <c r="A6" s="2" t="s">
        <v>33</v>
      </c>
      <c r="B6" s="3">
        <v>1</v>
      </c>
      <c r="C6" s="3">
        <v>1</v>
      </c>
      <c r="D6" s="3">
        <v>1</v>
      </c>
    </row>
    <row r="7" spans="1:5">
      <c r="A7" s="2" t="s">
        <v>34</v>
      </c>
      <c r="B7" s="3">
        <v>300</v>
      </c>
      <c r="C7" s="3">
        <v>300</v>
      </c>
      <c r="D7" s="3">
        <v>300</v>
      </c>
    </row>
    <row r="8" spans="1:5">
      <c r="A8" s="2" t="s">
        <v>11</v>
      </c>
      <c r="B8" s="3">
        <v>12</v>
      </c>
      <c r="C8" s="3">
        <v>12</v>
      </c>
      <c r="D8" s="3">
        <v>12</v>
      </c>
    </row>
    <row r="9" spans="1:5">
      <c r="A9" s="2" t="s">
        <v>25</v>
      </c>
      <c r="B9" s="5">
        <f>B5*B6*B7*B8</f>
        <v>720000.0</v>
      </c>
      <c r="C9" s="5">
        <f>C5*C6*C7*C8</f>
        <v>1440000.0</v>
      </c>
      <c r="D9" s="5">
        <f>D5*D6*D7*D8</f>
        <v>2160000.0</v>
      </c>
      <c r="E9" s="4" t="s">
        <v>39</v>
      </c>
    </row>
    <row r="11" spans="1:5">
      <c r="A11" s="2" t="s">
        <v>35</v>
      </c>
      <c r="B11" s="7">
        <v>0.1</v>
      </c>
      <c r="C11" s="7">
        <v>0.1</v>
      </c>
      <c r="D11" s="7">
        <v>0.1</v>
      </c>
    </row>
    <row r="12" spans="1:5">
      <c r="A12" s="2" t="s">
        <v>36</v>
      </c>
      <c r="B12" s="6">
        <f>B9*B11</f>
        <v>72000.0</v>
      </c>
      <c r="C12" s="6">
        <f>C9*C11</f>
        <v>144000.0</v>
      </c>
      <c r="D12" s="6">
        <f>D9*D11</f>
        <v>216000.0</v>
      </c>
      <c r="E12" s="4" t="s">
        <v>40</v>
      </c>
    </row>
    <row r="15" spans="1:5">
      <c r="A15" s="2" t="s">
        <v>41</v>
      </c>
      <c r="B15" s="5">
        <f>20*B7*B8</f>
        <v>72000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35.7109375" customWidth="1"/>
    <col min="2" max="2" width="115.7109375" customWidth="1"/>
  </cols>
  <sheetData>
    <row r="1" spans="1:2">
      <c r="A1" s="1" t="s">
        <v>42</v>
      </c>
      <c r="B1" s="1" t="s">
        <v>43</v>
      </c>
    </row>
    <row r="2" spans="1:2" ht="42" customHeight="1">
      <c r="A2" s="2" t="s">
        <v>44</v>
      </c>
      <c r="B2" s="4" t="s">
        <v>45</v>
      </c>
    </row>
    <row r="3" spans="1:2" ht="42" customHeight="1">
      <c r="A3" s="2" t="s">
        <v>46</v>
      </c>
      <c r="B3" s="4" t="s">
        <v>47</v>
      </c>
    </row>
    <row r="4" spans="1:2" ht="42" customHeight="1">
      <c r="A4" s="2" t="s">
        <v>48</v>
      </c>
      <c r="B4" s="4" t="s">
        <v>49</v>
      </c>
    </row>
    <row r="5" spans="1:2" ht="42" customHeight="1">
      <c r="A5" s="2" t="s">
        <v>50</v>
      </c>
      <c r="B5" s="4" t="s">
        <v>51</v>
      </c>
    </row>
    <row r="6" spans="1:2" ht="42" customHeight="1">
      <c r="A6" s="2" t="s">
        <v>52</v>
      </c>
      <c r="B6" s="4" t="s">
        <v>53</v>
      </c>
    </row>
    <row r="7" spans="1:2" ht="42" customHeight="1">
      <c r="A7" s="2" t="s">
        <v>54</v>
      </c>
      <c r="B7" s="4" t="s">
        <v>55</v>
      </c>
    </row>
    <row r="8" spans="1:2" ht="42" customHeight="1">
      <c r="A8" s="2" t="s">
        <v>56</v>
      </c>
      <c r="B8" s="4" t="s">
        <v>57</v>
      </c>
    </row>
    <row r="9" spans="1:2" ht="42" customHeight="1">
      <c r="A9" s="2" t="s">
        <v>58</v>
      </c>
      <c r="B9" s="4" t="s">
        <v>59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value</vt:lpstr>
      <vt:lpstr>US opportunity</vt:lpstr>
      <vt:lpstr>Sources and limits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2026-10-25T08:56:10Z</dcterms:created>
  <dcterms:modified xsi:type="dcterms:W3CDTF">2026-10-25T08:56:10Z</dcterms:modified>
</cp:coreProperties>
</file>